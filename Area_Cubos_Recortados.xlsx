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 de cubos rec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C0000"/>
      <sz val="10"/>
    </font>
    <font>
      <name val="Arial"/>
      <i val="1"/>
      <color rgb="00CC000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0" customWidth="1" min="4" max="4"/>
    <col width="13" customWidth="1" min="5" max="5"/>
    <col width="14" customWidth="1" min="6" max="6"/>
    <col width="14" customWidth="1" min="7" max="7"/>
    <col width="13" customWidth="1" min="8" max="8"/>
  </cols>
  <sheetData>
    <row r="1">
      <c r="A1" s="1" t="inlineStr">
        <is>
          <t>Dimensiones y área de cada cubo hiperespectral después de recortar</t>
        </is>
      </c>
    </row>
    <row r="2">
      <c r="A2" s="2" t="inlineStr">
        <is>
          <t>Sensor: Headwall Micro-Hyperspec VNIR uVS-206 | pixel pitch: 7.4 µm | focal: 8 mm | Recorte: (0:380, 0:400)</t>
        </is>
      </c>
    </row>
    <row r="4">
      <c r="A4" s="3" t="inlineStr">
        <is>
          <t>Cubo</t>
        </is>
      </c>
      <c r="B4" s="3" t="inlineStr">
        <is>
          <t>Bandas</t>
        </is>
      </c>
      <c r="C4" s="3" t="inlineStr">
        <is>
          <t>Filas</t>
        </is>
      </c>
      <c r="D4" s="3" t="inlineStr">
        <is>
          <t>Columnas</t>
        </is>
      </c>
      <c r="E4" s="3" t="inlineStr">
        <is>
          <t>Área (px)</t>
        </is>
      </c>
      <c r="F4" s="3" t="inlineStr">
        <is>
          <t>Alt. AGL (m)</t>
        </is>
      </c>
      <c r="G4" s="3" t="inlineStr">
        <is>
          <t>GSD (cm/px)</t>
        </is>
      </c>
      <c r="H4" s="3" t="inlineStr">
        <is>
          <t>Área (m²)</t>
        </is>
      </c>
    </row>
    <row r="5">
      <c r="A5" s="4" t="inlineStr">
        <is>
          <t>HN2</t>
        </is>
      </c>
      <c r="B5" s="5" t="n">
        <v>325</v>
      </c>
      <c r="C5" s="5" t="n">
        <v>380</v>
      </c>
      <c r="D5" s="5" t="n">
        <v>400</v>
      </c>
      <c r="E5" s="6">
        <f>C5*D5</f>
        <v/>
      </c>
      <c r="F5" s="7" t="n">
        <v>113.5</v>
      </c>
      <c r="G5" s="8" t="n">
        <v>10.5</v>
      </c>
      <c r="H5" s="9">
        <f>E5*(G5/100)^2</f>
        <v/>
      </c>
    </row>
    <row r="6">
      <c r="A6" s="4" t="inlineStr">
        <is>
          <t>JMM1</t>
        </is>
      </c>
      <c r="B6" s="5" t="n">
        <v>325</v>
      </c>
      <c r="C6" s="5" t="n">
        <v>380</v>
      </c>
      <c r="D6" s="5" t="n">
        <v>400</v>
      </c>
      <c r="E6" s="6">
        <f>C6*D6</f>
        <v/>
      </c>
      <c r="F6" s="7" t="n">
        <v>95.90000000000001</v>
      </c>
      <c r="G6" s="8" t="n">
        <v>8.869999999999999</v>
      </c>
      <c r="H6" s="9">
        <f>E6*(G6/100)^2</f>
        <v/>
      </c>
    </row>
    <row r="7">
      <c r="A7" s="4" t="inlineStr">
        <is>
          <t>LFH2</t>
        </is>
      </c>
      <c r="B7" s="5" t="n">
        <v>325</v>
      </c>
      <c r="C7" s="5" t="n">
        <v>380</v>
      </c>
      <c r="D7" s="5" t="n">
        <v>400</v>
      </c>
      <c r="E7" s="6">
        <f>C7*D7</f>
        <v/>
      </c>
      <c r="F7" s="7" t="n">
        <v>94.7</v>
      </c>
      <c r="G7" s="8" t="n">
        <v>8.76</v>
      </c>
      <c r="H7" s="9">
        <f>E7*(G7/100)^2</f>
        <v/>
      </c>
    </row>
    <row r="8">
      <c r="A8" s="4" t="inlineStr">
        <is>
          <t>LIMON1_3</t>
        </is>
      </c>
      <c r="B8" s="5" t="n">
        <v>325</v>
      </c>
      <c r="C8" s="5" t="n">
        <v>380</v>
      </c>
      <c r="D8" s="5" t="n">
        <v>400</v>
      </c>
      <c r="E8" s="6">
        <f>C8*D8</f>
        <v/>
      </c>
      <c r="F8" s="7" t="n">
        <v>102.1</v>
      </c>
      <c r="G8" s="8" t="n">
        <v>9.44</v>
      </c>
      <c r="H8" s="9">
        <f>E8*(G8/100)^2</f>
        <v/>
      </c>
    </row>
    <row r="9">
      <c r="A9" s="4" t="inlineStr">
        <is>
          <t>LIMON2_4</t>
        </is>
      </c>
      <c r="B9" s="5" t="n">
        <v>325</v>
      </c>
      <c r="C9" s="5" t="n">
        <v>380</v>
      </c>
      <c r="D9" s="5" t="n">
        <v>400</v>
      </c>
      <c r="E9" s="6">
        <f>C9*D9</f>
        <v/>
      </c>
      <c r="F9" s="7" t="n">
        <v>105.3</v>
      </c>
      <c r="G9" s="8" t="n">
        <v>9.74</v>
      </c>
      <c r="H9" s="9">
        <f>E9*(G9/100)^2</f>
        <v/>
      </c>
    </row>
    <row r="10">
      <c r="A10" s="4" t="inlineStr">
        <is>
          <t>TEJON2_6</t>
        </is>
      </c>
      <c r="B10" s="5" t="n">
        <v>325</v>
      </c>
      <c r="C10" s="5" t="n">
        <v>380</v>
      </c>
      <c r="D10" s="5" t="n">
        <v>400</v>
      </c>
      <c r="E10" s="6">
        <f>C10*D10</f>
        <v/>
      </c>
      <c r="F10" s="7" t="n">
        <v>126</v>
      </c>
      <c r="G10" s="8" t="n">
        <v>11.65</v>
      </c>
      <c r="H10" s="9">
        <f>E10*(G10/100)^2</f>
        <v/>
      </c>
    </row>
    <row r="11">
      <c r="A11" s="4" t="inlineStr">
        <is>
          <t>UNAM</t>
        </is>
      </c>
      <c r="B11" s="5" t="n">
        <v>325</v>
      </c>
      <c r="C11" s="5" t="n">
        <v>380</v>
      </c>
      <c r="D11" s="5" t="n">
        <v>400</v>
      </c>
      <c r="E11" s="6">
        <f>C11*D11</f>
        <v/>
      </c>
      <c r="F11" s="7" t="n">
        <v>100.4</v>
      </c>
      <c r="G11" s="8" t="n">
        <v>9.289999999999999</v>
      </c>
      <c r="H11" s="9">
        <f>E11*(G11/100)^2</f>
        <v/>
      </c>
    </row>
    <row r="12">
      <c r="A12" s="10" t="inlineStr">
        <is>
          <t>TEJON_5</t>
        </is>
      </c>
      <c r="B12" s="5" t="n">
        <v>3</v>
      </c>
      <c r="C12" s="5" t="n">
        <v>380</v>
      </c>
      <c r="D12" s="5" t="n">
        <v>400</v>
      </c>
      <c r="E12" s="6">
        <f>C12*D12</f>
        <v/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</row>
    <row r="13">
      <c r="A13" s="12" t="inlineStr">
        <is>
          <t>⚠ TEJON_5: Excluido del cálculo de área — solo tiene 3 bandas y no se cuenta con GSD.</t>
        </is>
      </c>
    </row>
    <row r="15">
      <c r="A15" s="13" t="inlineStr">
        <is>
          <t>Fórmulas:</t>
        </is>
      </c>
    </row>
    <row r="16">
      <c r="A16" s="14" t="inlineStr">
        <is>
          <t>Área (m²) = filas × columnas × GSD²    |    GSD = (pixel_pitch × altitud) / focal_length</t>
        </is>
      </c>
    </row>
  </sheetData>
  <mergeCells count="5">
    <mergeCell ref="A15:H15"/>
    <mergeCell ref="A16:H16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2026-04-01T03:28:38Z</dcterms:created>
  <dcterms:modified xmlns:dcterms="http://purl.org/dc/terms/" xmlns:xsi="http://www.w3.org/2001/XMLSchema-instance" xsi:type="dcterms:W3CDTF">2026-04-01T03:28:38Z</dcterms:modified>
</cp:coreProperties>
</file>